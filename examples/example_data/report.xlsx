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Liquids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FID RT (min)</t>
        </is>
      </c>
      <c r="B1" s="1" t="inlineStr">
        <is>
          <t>Area</t>
        </is>
      </c>
      <c r="C1" s="1" t="inlineStr">
        <is>
          <t>MS RT (min)</t>
        </is>
      </c>
      <c r="D1" s="1" t="inlineStr">
        <is>
          <t>Compound</t>
        </is>
      </c>
      <c r="E1" s="1" t="inlineStr">
        <is>
          <t>Formula</t>
        </is>
      </c>
      <c r="F1" s="1" t="inlineStr">
        <is>
          <t>Match Factor</t>
        </is>
      </c>
      <c r="G1" s="1" t="inlineStr">
        <is>
          <t>Carbon Number</t>
        </is>
      </c>
      <c r="H1" s="1" t="inlineStr">
        <is>
          <t>Molecular Weight</t>
        </is>
      </c>
      <c r="I1" s="1" t="inlineStr">
        <is>
          <t>Sample Set</t>
        </is>
      </c>
      <c r="J1" s="1" t="inlineStr">
        <is>
          <t>Response Factor</t>
        </is>
      </c>
      <c r="K1" s="1" t="inlineStr">
        <is>
          <t>Ai/As</t>
        </is>
      </c>
      <c r="L1" s="1" t="inlineStr">
        <is>
          <t>Mass (mg)</t>
        </is>
      </c>
    </row>
    <row r="2">
      <c r="A2" t="n">
        <v>4</v>
      </c>
      <c r="B2" t="n">
        <v>1021.57</v>
      </c>
      <c r="C2" t="n">
        <v>3.98</v>
      </c>
      <c r="D2" t="inlineStr">
        <is>
          <t>Isobutane</t>
        </is>
      </c>
      <c r="E2" t="inlineStr">
        <is>
          <t>C4H10</t>
        </is>
      </c>
      <c r="F2" t="n">
        <v>74.7</v>
      </c>
      <c r="G2" t="n">
        <v>4</v>
      </c>
      <c r="H2" t="n">
        <v>58.124</v>
      </c>
      <c r="I2" t="inlineStr">
        <is>
          <t>Interpolated</t>
        </is>
      </c>
      <c r="J2" t="n">
        <v>0.8885744</v>
      </c>
      <c r="K2">
        <f>('Sheet1'!$B$2/'Liquids Analysis'!$B$3)</f>
        <v/>
      </c>
      <c r="L2">
        <f>('Liquids Analysis'!$B$3*('Sheet1'!$K$2/'Sheet1'!$J$2))</f>
        <v/>
      </c>
    </row>
    <row r="3">
      <c r="A3" t="n">
        <v>4.25</v>
      </c>
      <c r="B3" t="n">
        <v>533.26</v>
      </c>
      <c r="G3" t="n">
        <v>0</v>
      </c>
      <c r="H3" t="n">
        <v>0</v>
      </c>
      <c r="K3">
        <f>('Sheet1'!$B$3/'Liquids Analysis'!$B$3)</f>
        <v/>
      </c>
      <c r="L3">
        <f>('Liquids Analysis'!$B$3*('Sheet1'!$K$3/'Sheet1'!$J$3))</f>
        <v/>
      </c>
    </row>
    <row r="4">
      <c r="A4" t="n">
        <v>4.5</v>
      </c>
      <c r="B4" t="n">
        <v>1632.06</v>
      </c>
      <c r="C4" t="n">
        <v>4.49</v>
      </c>
      <c r="D4" t="inlineStr">
        <is>
          <t>Butane, 2-methyl-</t>
        </is>
      </c>
      <c r="E4" t="inlineStr">
        <is>
          <t>C5H12</t>
        </is>
      </c>
      <c r="F4" t="n">
        <v>97.3</v>
      </c>
      <c r="G4" t="n">
        <v>5</v>
      </c>
      <c r="H4" t="n">
        <v>72.151</v>
      </c>
      <c r="I4" t="inlineStr">
        <is>
          <t>RFSet1</t>
        </is>
      </c>
      <c r="J4" t="n">
        <v>2</v>
      </c>
      <c r="K4">
        <f>('Sheet1'!$B$4/'Liquids Analysis'!$B$3)</f>
        <v/>
      </c>
      <c r="L4">
        <f>('Liquids Analysis'!$B$3*('Sheet1'!$K$4/'Sheet1'!$J$4))</f>
        <v/>
      </c>
    </row>
    <row r="5">
      <c r="A5" t="n">
        <v>4.75</v>
      </c>
      <c r="B5" t="n">
        <v>1772.42</v>
      </c>
      <c r="C5" t="n">
        <v>4.76</v>
      </c>
      <c r="D5" t="inlineStr">
        <is>
          <t>Pentane, 2-methyl-</t>
        </is>
      </c>
      <c r="E5" t="inlineStr">
        <is>
          <t>C6H14</t>
        </is>
      </c>
      <c r="F5" t="n">
        <v>95.90000000000001</v>
      </c>
      <c r="G5" t="n">
        <v>6</v>
      </c>
      <c r="H5" t="n">
        <v>86.178</v>
      </c>
      <c r="I5" t="inlineStr">
        <is>
          <t>RFSet1</t>
        </is>
      </c>
      <c r="J5" t="n">
        <v>3</v>
      </c>
      <c r="K5">
        <f>('Sheet1'!$B$5/'Liquids Analysis'!$B$3)</f>
        <v/>
      </c>
      <c r="L5">
        <f>('Liquids Analysis'!$B$3*('Sheet1'!$K$5/'Sheet1'!$J$5))</f>
        <v/>
      </c>
    </row>
    <row r="6">
      <c r="A6" t="n">
        <v>5</v>
      </c>
      <c r="B6" t="n">
        <v>814.03</v>
      </c>
      <c r="C6" t="n">
        <v>5.03</v>
      </c>
      <c r="D6" t="inlineStr">
        <is>
          <t>Pentane, 3-methyl-</t>
        </is>
      </c>
      <c r="E6" t="inlineStr">
        <is>
          <t>C6H14</t>
        </is>
      </c>
      <c r="F6" t="n">
        <v>91.2</v>
      </c>
      <c r="G6" t="n">
        <v>6</v>
      </c>
      <c r="H6" t="n">
        <v>86.178</v>
      </c>
      <c r="I6" t="inlineStr">
        <is>
          <t>RFSet2</t>
        </is>
      </c>
      <c r="J6" t="n">
        <v>4</v>
      </c>
      <c r="K6">
        <f>('Sheet1'!$B$6/'Liquids Analysis'!$B$3)</f>
        <v/>
      </c>
      <c r="L6">
        <f>('Liquids Analysis'!$B$3*('Sheet1'!$K$6/'Sheet1'!$J$6))</f>
        <v/>
      </c>
    </row>
    <row r="7">
      <c r="A7" t="n">
        <v>5.25</v>
      </c>
      <c r="B7" t="n">
        <v>1357.55</v>
      </c>
      <c r="C7" t="n">
        <v>5.25</v>
      </c>
      <c r="D7" t="inlineStr">
        <is>
          <t>n-Hexane</t>
        </is>
      </c>
      <c r="E7" t="inlineStr">
        <is>
          <t>C6H14</t>
        </is>
      </c>
      <c r="F7" t="n">
        <v>93.59999999999999</v>
      </c>
      <c r="G7" t="n">
        <v>6</v>
      </c>
      <c r="H7" t="n">
        <v>86.178</v>
      </c>
      <c r="I7" t="inlineStr">
        <is>
          <t>RFSet2</t>
        </is>
      </c>
      <c r="J7" t="n">
        <v>5</v>
      </c>
      <c r="K7">
        <f>('Sheet1'!$B$7/'Liquids Analysis'!$B$3)</f>
        <v/>
      </c>
      <c r="L7">
        <f>('Liquids Analysis'!$B$3*('Sheet1'!$K$7/'Sheet1'!$J$7))</f>
        <v/>
      </c>
    </row>
    <row r="8">
      <c r="A8" t="n">
        <v>5.5</v>
      </c>
      <c r="B8" t="n">
        <v>638.91</v>
      </c>
      <c r="C8" t="n">
        <v>5.54</v>
      </c>
      <c r="D8" t="inlineStr">
        <is>
          <t>1-Butene, 2,3-dimethyl-</t>
        </is>
      </c>
      <c r="E8" t="inlineStr">
        <is>
          <t>C6H12</t>
        </is>
      </c>
      <c r="F8" t="n">
        <v>86.7</v>
      </c>
      <c r="G8" t="n">
        <v>6</v>
      </c>
      <c r="H8" t="n">
        <v>84.16200000000001</v>
      </c>
      <c r="I8" t="inlineStr">
        <is>
          <t>Interpolated</t>
        </is>
      </c>
      <c r="J8" t="n">
        <v>0.9373136</v>
      </c>
      <c r="K8">
        <f>('Sheet1'!$B$8/'Liquids Analysis'!$B$3)</f>
        <v/>
      </c>
      <c r="L8">
        <f>('Liquids Analysis'!$B$3*('Sheet1'!$K$8/'Sheet1'!$J$8))</f>
        <v/>
      </c>
    </row>
    <row r="9">
      <c r="A9" t="n">
        <v>5.75</v>
      </c>
      <c r="B9" t="n">
        <v>299.99</v>
      </c>
      <c r="G9" t="n">
        <v>0</v>
      </c>
      <c r="H9" t="n">
        <v>0</v>
      </c>
      <c r="K9">
        <f>('Sheet1'!$B$9/'Liquids Analysis'!$B$3)</f>
        <v/>
      </c>
      <c r="L9">
        <f>('Liquids Analysis'!$B$3*('Sheet1'!$K$9/'Sheet1'!$J$9))</f>
        <v/>
      </c>
    </row>
    <row r="10">
      <c r="A10" t="n">
        <v>6</v>
      </c>
      <c r="B10" t="n">
        <v>800.09</v>
      </c>
      <c r="C10" t="n">
        <v>6.04</v>
      </c>
      <c r="D10" t="inlineStr">
        <is>
          <t>Cyclopentane, methyl-</t>
        </is>
      </c>
      <c r="E10" t="inlineStr">
        <is>
          <t>C6H12</t>
        </is>
      </c>
      <c r="F10" t="n">
        <v>92</v>
      </c>
      <c r="G10" t="n">
        <v>6</v>
      </c>
      <c r="H10" t="n">
        <v>84.16200000000001</v>
      </c>
      <c r="I10" t="inlineStr">
        <is>
          <t>RFSet2</t>
        </is>
      </c>
      <c r="J10" t="n">
        <v>6</v>
      </c>
      <c r="K10">
        <f>('Sheet1'!$B$10/'Liquids Analysis'!$B$3)</f>
        <v/>
      </c>
      <c r="L10">
        <f>('Liquids Analysis'!$B$3*('Sheet1'!$K$10/'Sheet1'!$J$10))</f>
        <v/>
      </c>
    </row>
    <row r="11">
      <c r="A11" t="n">
        <v>6.25</v>
      </c>
      <c r="B11" t="n">
        <v>217.46</v>
      </c>
      <c r="G11" t="n">
        <v>0</v>
      </c>
      <c r="H11" t="n">
        <v>0</v>
      </c>
      <c r="K11">
        <f>('Sheet1'!$B$11/'Liquids Analysis'!$B$3)</f>
        <v/>
      </c>
      <c r="L11">
        <f>('Liquids Analysis'!$B$3*('Sheet1'!$K$11/'Sheet1'!$J$11))</f>
        <v/>
      </c>
    </row>
    <row r="12">
      <c r="A12" t="n">
        <v>6.5</v>
      </c>
      <c r="B12" t="n">
        <v>759.61</v>
      </c>
      <c r="C12" t="n">
        <v>6.5</v>
      </c>
      <c r="D12" t="inlineStr">
        <is>
          <t>Cyclopentene, 1-methyl-</t>
        </is>
      </c>
      <c r="E12" t="inlineStr">
        <is>
          <t>C6H10</t>
        </is>
      </c>
      <c r="F12" t="n">
        <v>74</v>
      </c>
      <c r="G12" t="n">
        <v>6</v>
      </c>
      <c r="H12" t="n">
        <v>82.146</v>
      </c>
      <c r="I12" t="inlineStr">
        <is>
          <t>RFSet2</t>
        </is>
      </c>
      <c r="J12" t="n">
        <v>7</v>
      </c>
      <c r="K12">
        <f>('Sheet1'!$B$12/'Liquids Analysis'!$B$3)</f>
        <v/>
      </c>
      <c r="L12">
        <f>('Liquids Analysis'!$B$3*('Sheet1'!$K$12/'Sheet1'!$J$12))</f>
        <v/>
      </c>
    </row>
    <row r="13">
      <c r="A13" t="n">
        <v>6.75</v>
      </c>
      <c r="B13" t="n">
        <v>22.93</v>
      </c>
      <c r="G13" t="n">
        <v>0</v>
      </c>
      <c r="H13" t="n">
        <v>0</v>
      </c>
      <c r="K13">
        <f>('Sheet1'!$B$13/'Liquids Analysis'!$B$3)</f>
        <v/>
      </c>
      <c r="L13">
        <f>('Liquids Analysis'!$B$3*('Sheet1'!$K$13/'Sheet1'!$J$13))</f>
        <v/>
      </c>
    </row>
    <row r="14">
      <c r="A14" t="n">
        <v>7</v>
      </c>
      <c r="B14" t="n">
        <v>16.95</v>
      </c>
      <c r="G14" t="n">
        <v>0</v>
      </c>
      <c r="H14" t="n">
        <v>0</v>
      </c>
      <c r="K14">
        <f>('Sheet1'!$B$14/'Liquids Analysis'!$B$3)</f>
        <v/>
      </c>
      <c r="L14">
        <f>('Liquids Analysis'!$B$3*('Sheet1'!$K$14/'Sheet1'!$J$14))</f>
        <v/>
      </c>
    </row>
    <row r="15">
      <c r="A15" t="n">
        <v>7.25</v>
      </c>
      <c r="B15" t="n">
        <v>623.35</v>
      </c>
      <c r="C15" t="n">
        <v>7.21</v>
      </c>
      <c r="D15" t="inlineStr">
        <is>
          <t>Benzene</t>
        </is>
      </c>
      <c r="E15" t="inlineStr">
        <is>
          <t>C6H6</t>
        </is>
      </c>
      <c r="F15" t="n">
        <v>95.7</v>
      </c>
      <c r="G15" t="n">
        <v>6</v>
      </c>
      <c r="H15" t="n">
        <v>78.114</v>
      </c>
      <c r="I15" t="inlineStr">
        <is>
          <t>RFSet3</t>
        </is>
      </c>
      <c r="J15" t="n">
        <v>8</v>
      </c>
      <c r="K15">
        <f>('Sheet1'!$B$15/'Liquids Analysis'!$B$3)</f>
        <v/>
      </c>
      <c r="L15">
        <f>('Liquids Analysis'!$B$3*('Sheet1'!$K$15/'Sheet1'!$J$15))</f>
        <v/>
      </c>
    </row>
    <row r="16">
      <c r="A16" t="n">
        <v>7.5</v>
      </c>
      <c r="B16" t="n">
        <v>1268.63</v>
      </c>
      <c r="C16" t="n">
        <v>7.48</v>
      </c>
      <c r="D16" t="inlineStr">
        <is>
          <t>Hexane, 2-methyl-</t>
        </is>
      </c>
      <c r="E16" t="inlineStr">
        <is>
          <t>C7H16</t>
        </is>
      </c>
      <c r="F16" t="n">
        <v>90.59999999999999</v>
      </c>
      <c r="G16" t="n">
        <v>7</v>
      </c>
      <c r="H16" t="n">
        <v>100.205</v>
      </c>
      <c r="I16" t="inlineStr">
        <is>
          <t>RFSet3</t>
        </is>
      </c>
      <c r="J16" t="n">
        <v>9</v>
      </c>
      <c r="K16">
        <f>('Sheet1'!$B$16/'Liquids Analysis'!$B$3)</f>
        <v/>
      </c>
      <c r="L16">
        <f>('Liquids Analysis'!$B$3*('Sheet1'!$K$16/'Sheet1'!$J$16))</f>
        <v/>
      </c>
    </row>
    <row r="17">
      <c r="A17" t="n">
        <v>7.75</v>
      </c>
      <c r="B17" t="n">
        <v>617.22</v>
      </c>
      <c r="C17" t="n">
        <v>7.76</v>
      </c>
      <c r="D17" t="inlineStr">
        <is>
          <t>Hexane, 3-methyl-</t>
        </is>
      </c>
      <c r="E17" t="inlineStr">
        <is>
          <t>C7H16</t>
        </is>
      </c>
      <c r="F17" t="n">
        <v>94.90000000000001</v>
      </c>
      <c r="G17" t="n">
        <v>7</v>
      </c>
      <c r="H17" t="n">
        <v>100.205</v>
      </c>
      <c r="I17" t="inlineStr">
        <is>
          <t>Interpolated</t>
        </is>
      </c>
      <c r="J17" t="n">
        <v>0.9552128</v>
      </c>
      <c r="K17">
        <f>('Sheet1'!$B$17/'Liquids Analysis'!$B$3)</f>
        <v/>
      </c>
      <c r="L17">
        <f>('Liquids Analysis'!$B$3*('Sheet1'!$K$17/'Sheet1'!$J$17))</f>
        <v/>
      </c>
    </row>
    <row r="18">
      <c r="A18" t="n">
        <v>8</v>
      </c>
      <c r="B18" t="n">
        <v>1730.12</v>
      </c>
      <c r="C18" t="n">
        <v>8.029999999999999</v>
      </c>
      <c r="D18" t="inlineStr">
        <is>
          <t>Isopropylcyclobutane</t>
        </is>
      </c>
      <c r="E18" t="inlineStr">
        <is>
          <t>C7H14</t>
        </is>
      </c>
      <c r="F18" t="n">
        <v>82.40000000000001</v>
      </c>
      <c r="G18" t="n">
        <v>7</v>
      </c>
      <c r="H18" t="n">
        <v>98.18899999999999</v>
      </c>
      <c r="I18" t="inlineStr">
        <is>
          <t>RFSet3</t>
        </is>
      </c>
      <c r="J18" t="n">
        <v>10</v>
      </c>
      <c r="K18">
        <f>('Sheet1'!$B$18/'Liquids Analysis'!$B$3)</f>
        <v/>
      </c>
      <c r="L18">
        <f>('Liquids Analysis'!$B$3*('Sheet1'!$K$18/'Sheet1'!$J$18))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/>
      <c r="C2" t="inlineStr"/>
    </row>
    <row r="3">
      <c r="B3">
        <f>INDEX('Sheet1'!$B$2:$B$18, MATCH('Hexane, 3-methyl-', 'Sheet1'!$D$2:$D$18, 0))</f>
        <v/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2026-02-01T20:56:04Z</dcterms:created>
  <dcterms:modified xsi:type="dcterms:W3CDTF">2026-02-01T20:56:04Z</dcterms:modified>
</cp:coreProperties>
</file>